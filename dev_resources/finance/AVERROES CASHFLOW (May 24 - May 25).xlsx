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Finance\5. Bank\"/>
    </mc:Choice>
  </mc:AlternateContent>
  <xr:revisionPtr revIDLastSave="0" documentId="13_ncr:1_{7CFD65D3-DBAB-4921-B9A1-119DCD7E7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1'!$A$1:$AC$25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G23" i="1" s="1"/>
  <c r="G24" i="1" s="1"/>
  <c r="I23" i="1" s="1"/>
  <c r="I24" i="1" s="1"/>
  <c r="K23" i="1" s="1"/>
  <c r="K24" i="1" s="1"/>
  <c r="M23" i="1" s="1"/>
  <c r="M24" i="1" s="1"/>
  <c r="O23" i="1" s="1"/>
  <c r="O24" i="1" s="1"/>
  <c r="Q23" i="1" s="1"/>
  <c r="Q24" i="1" s="1"/>
  <c r="S23" i="1" s="1"/>
  <c r="E23" i="1"/>
  <c r="C24" i="1"/>
  <c r="AC5" i="1"/>
  <c r="K21" i="1" l="1"/>
  <c r="K22" i="1" s="1"/>
  <c r="K9" i="1"/>
  <c r="G21" i="1"/>
  <c r="G22" i="1" s="1"/>
  <c r="I21" i="1"/>
  <c r="I22" i="1" s="1"/>
  <c r="AA21" i="1"/>
  <c r="E22" i="1"/>
  <c r="Y21" i="1"/>
  <c r="W21" i="1"/>
  <c r="U21" i="1"/>
  <c r="S21" i="1"/>
  <c r="Q21" i="1"/>
  <c r="O21" i="1"/>
  <c r="O22" i="1" s="1"/>
  <c r="M21" i="1"/>
  <c r="M22" i="1" s="1"/>
  <c r="E21" i="1"/>
  <c r="AC15" i="1"/>
  <c r="AC16" i="1"/>
  <c r="AC17" i="1"/>
  <c r="AC18" i="1"/>
  <c r="AC19" i="1"/>
  <c r="AC20" i="1"/>
  <c r="AC12" i="1"/>
  <c r="AC14" i="1"/>
  <c r="AC13" i="1"/>
  <c r="C21" i="1"/>
  <c r="C22" i="1" s="1"/>
  <c r="AC21" i="1" l="1"/>
  <c r="AA9" i="1" l="1"/>
  <c r="AA22" i="1" s="1"/>
  <c r="Y9" i="1"/>
  <c r="Y22" i="1" s="1"/>
  <c r="W9" i="1"/>
  <c r="W22" i="1" s="1"/>
  <c r="U9" i="1"/>
  <c r="U22" i="1" s="1"/>
  <c r="S9" i="1"/>
  <c r="Q9" i="1"/>
  <c r="Q22" i="1" s="1"/>
  <c r="O9" i="1"/>
  <c r="M9" i="1"/>
  <c r="I9" i="1"/>
  <c r="G9" i="1"/>
  <c r="E9" i="1"/>
  <c r="C9" i="1"/>
  <c r="AC4" i="1"/>
  <c r="S22" i="1" l="1"/>
  <c r="S24" i="1" s="1"/>
  <c r="U23" i="1" s="1"/>
  <c r="U24" i="1" s="1"/>
  <c r="W23" i="1" s="1"/>
  <c r="W24" i="1" s="1"/>
  <c r="Y23" i="1" s="1"/>
  <c r="Y24" i="1" s="1"/>
  <c r="AA23" i="1" s="1"/>
  <c r="AA24" i="1" s="1"/>
  <c r="AC9" i="1"/>
  <c r="AC22" i="1"/>
</calcChain>
</file>

<file path=xl/sharedStrings.xml><?xml version="1.0" encoding="utf-8"?>
<sst xmlns="http://schemas.openxmlformats.org/spreadsheetml/2006/main" count="312" uniqueCount="27">
  <si>
    <t>TOTAL</t>
  </si>
  <si>
    <t>Cash inflows</t>
  </si>
  <si>
    <t>RM</t>
  </si>
  <si>
    <t>-</t>
  </si>
  <si>
    <t>Others</t>
  </si>
  <si>
    <t>Director Paid Up Capital</t>
  </si>
  <si>
    <t>Advance from (Other debtors)</t>
  </si>
  <si>
    <t>SUM (Inflows)</t>
  </si>
  <si>
    <t>Cash Outflows</t>
  </si>
  <si>
    <t>Advance to (Other debtors)</t>
  </si>
  <si>
    <t>Office Rental</t>
  </si>
  <si>
    <t>Company Domain &amp; Microsoft Subscription</t>
  </si>
  <si>
    <t>External Consultancy Services</t>
  </si>
  <si>
    <t>Out of Pocket Expenses (OPE)</t>
  </si>
  <si>
    <t>Zakat MAIWP</t>
  </si>
  <si>
    <t>Dividend</t>
  </si>
  <si>
    <t>Income tax paid</t>
  </si>
  <si>
    <t>SUM (Outflows)</t>
  </si>
  <si>
    <t>Net Cash inflow/(outflow)</t>
  </si>
  <si>
    <t>Income from Projects with AEM-
PETRONAS</t>
  </si>
  <si>
    <r>
      <rPr>
        <b/>
        <i/>
        <u/>
        <sz val="8.5"/>
        <color rgb="FFFF0000"/>
        <rFont val="Inter"/>
        <family val="3"/>
      </rPr>
      <t>CASH FLOW</t>
    </r>
  </si>
  <si>
    <r>
      <rPr>
        <sz val="8.5"/>
        <rFont val="Inter"/>
        <family val="3"/>
      </rPr>
      <t>Income from Projects with CONSURV-
PETRONAS</t>
    </r>
  </si>
  <si>
    <r>
      <rPr>
        <sz val="8.5"/>
        <rFont val="Inter"/>
        <family val="3"/>
      </rPr>
      <t>Operation &amp; non-Operating expenses
-Staffs Salary
-EPF
-Socso &amp; EIS
-Insurance</t>
    </r>
  </si>
  <si>
    <r>
      <rPr>
        <sz val="8.5"/>
        <rFont val="Inter"/>
        <family val="3"/>
      </rPr>
      <t>Operation &amp; non-Operating expenses
-Levy HRD Corp</t>
    </r>
  </si>
  <si>
    <r>
      <rPr>
        <sz val="8.5"/>
        <rFont val="Inter"/>
        <family val="3"/>
      </rPr>
      <t xml:space="preserve">Opening cash balance
</t>
    </r>
    <r>
      <rPr>
        <b/>
        <sz val="8.5"/>
        <rFont val="Inter"/>
        <family val="3"/>
      </rPr>
      <t>Closing cash balance</t>
    </r>
  </si>
  <si>
    <r>
      <rPr>
        <b/>
        <i/>
        <sz val="8.5"/>
        <rFont val="Inter"/>
        <family val="3"/>
      </rPr>
      <t xml:space="preserve">Represented by:-
</t>
    </r>
    <r>
      <rPr>
        <sz val="8.5"/>
        <rFont val="Inter"/>
        <family val="3"/>
      </rPr>
      <t>Cash in Hand &amp; at bank</t>
    </r>
  </si>
  <si>
    <t>AVERROES DATA SCIENCE SDN. BHD.
SOLVENCY TEST FOR 13 MONTHS ( FROM MAY 2024 TO JUNE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</si>
</sst>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8.5"/>
      <name val="Inter"/>
      <family val="3"/>
    </font>
    <font>
      <b/>
      <sz val="8.5"/>
      <color rgb="FF000000"/>
      <name val="Inter"/>
      <family val="3"/>
    </font>
    <font>
      <sz val="8.5"/>
      <color rgb="FF000000"/>
      <name val="Inter"/>
      <family val="3"/>
    </font>
    <font>
      <sz val="8.5"/>
      <name val="Inter"/>
      <family val="3"/>
    </font>
    <font>
      <b/>
      <i/>
      <sz val="8.5"/>
      <name val="Inter"/>
      <family val="3"/>
    </font>
    <font>
      <b/>
      <i/>
      <u/>
      <sz val="8.5"/>
      <color rgb="FFFF0000"/>
      <name val="Inter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4" fontId="3" fillId="0" borderId="3" xfId="0" applyNumberFormat="1" applyFont="1" applyBorder="1" applyAlignment="1">
      <alignment horizontal="right" vertical="top" shrinkToFit="1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" fontId="3" fillId="0" borderId="3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4" fontId="2" fillId="0" borderId="3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left" vertical="center" wrapText="1"/>
    </xf>
    <xf numFmtId="4" fontId="3" fillId="0" borderId="3" xfId="0" applyNumberFormat="1" applyFont="1" applyBorder="1" applyAlignment="1">
      <alignment horizontal="right" vertical="center" shrinkToFit="1"/>
    </xf>
    <xf numFmtId="4" fontId="3" fillId="0" borderId="3" xfId="0" applyNumberFormat="1" applyFont="1" applyBorder="1" applyAlignment="1">
      <alignment vertical="center" shrinkToFit="1"/>
    </xf>
    <xf numFmtId="0" fontId="3" fillId="0" borderId="0" xfId="0" applyFont="1" applyAlignment="1">
      <alignment horizontal="left" vertical="top" wrapText="1"/>
    </xf>
    <xf numFmtId="2" fontId="3" fillId="0" borderId="3" xfId="0" applyNumberFormat="1" applyFont="1" applyBorder="1" applyAlignment="1">
      <alignment horizontal="right" vertical="center" shrinkToFit="1"/>
    </xf>
    <xf numFmtId="2" fontId="3" fillId="0" borderId="3" xfId="0" applyNumberFormat="1" applyFont="1" applyBorder="1" applyAlignment="1">
      <alignment horizontal="right" vertical="top" shrinkToFit="1"/>
    </xf>
    <xf numFmtId="4" fontId="3" fillId="0" borderId="0" xfId="0" applyNumberFormat="1" applyFont="1" applyAlignment="1">
      <alignment horizontal="left" vertical="top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6"/>
  <sheetViews>
    <sheetView tabSelected="1" zoomScale="94" zoomScaleNormal="94" workbookViewId="0">
      <selection activeCell="R11" sqref="R11:S11"/>
    </sheetView>
  </sheetViews>
  <sheetFormatPr defaultRowHeight="10.8" x14ac:dyDescent="0.25"/>
  <cols>
    <col min="1" max="1" width="15" style="4" customWidth="1"/>
    <col min="2" max="2" width="3.77734375" style="4" customWidth="1"/>
    <col min="3" max="3" width="10.77734375" style="4" customWidth="1"/>
    <col min="4" max="4" width="3.77734375" style="4" customWidth="1"/>
    <col min="5" max="5" width="10.77734375" style="4" customWidth="1"/>
    <col min="6" max="6" width="3.77734375" style="4" customWidth="1"/>
    <col min="7" max="7" width="10.77734375" style="4" customWidth="1"/>
    <col min="8" max="8" width="3.77734375" style="4" customWidth="1"/>
    <col min="9" max="9" width="10.77734375" style="4" customWidth="1"/>
    <col min="10" max="10" width="3.77734375" style="4" customWidth="1"/>
    <col min="11" max="11" width="11.109375" style="4" customWidth="1"/>
    <col min="12" max="12" width="3.77734375" style="4" customWidth="1"/>
    <col min="13" max="13" width="10.77734375" style="4" customWidth="1"/>
    <col min="14" max="14" width="3.77734375" style="4" customWidth="1"/>
    <col min="15" max="15" width="10.77734375" style="4" customWidth="1"/>
    <col min="16" max="16" width="3.77734375" style="4" customWidth="1"/>
    <col min="17" max="17" width="10.77734375" style="4" customWidth="1"/>
    <col min="18" max="18" width="3.77734375" style="4" customWidth="1"/>
    <col min="19" max="19" width="10.77734375" style="4" customWidth="1"/>
    <col min="20" max="20" width="3.77734375" style="4" customWidth="1"/>
    <col min="21" max="21" width="10.77734375" style="4" customWidth="1"/>
    <col min="22" max="22" width="3.77734375" style="4" customWidth="1"/>
    <col min="23" max="23" width="10.77734375" style="4" customWidth="1"/>
    <col min="24" max="24" width="3.77734375" style="4" customWidth="1"/>
    <col min="25" max="25" width="10.77734375" style="4" customWidth="1"/>
    <col min="26" max="26" width="3.77734375" style="4" customWidth="1"/>
    <col min="27" max="27" width="10.77734375" style="4" customWidth="1"/>
    <col min="28" max="28" width="3.77734375" style="4" customWidth="1"/>
    <col min="29" max="29" width="10" style="4" bestFit="1" customWidth="1"/>
    <col min="30" max="30" width="11.5546875" style="4" customWidth="1"/>
    <col min="31" max="16384" width="8.88671875" style="4"/>
  </cols>
  <sheetData>
    <row r="1" spans="1:30" ht="25.2" customHeight="1" x14ac:dyDescent="0.2">
      <c r="A1" s="40" t="s">
        <v>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7"/>
    </row>
    <row r="2" spans="1:30" ht="12" customHeight="1" x14ac:dyDescent="0.25">
      <c r="A2" s="8" t="s">
        <v>20</v>
      </c>
      <c r="B2" s="25">
        <v>45413</v>
      </c>
      <c r="C2" s="26"/>
      <c r="D2" s="25">
        <v>45444</v>
      </c>
      <c r="E2" s="26"/>
      <c r="F2" s="25">
        <v>45474</v>
      </c>
      <c r="G2" s="26"/>
      <c r="H2" s="25">
        <v>45505</v>
      </c>
      <c r="I2" s="26"/>
      <c r="J2" s="25">
        <v>45536</v>
      </c>
      <c r="K2" s="26"/>
      <c r="L2" s="25">
        <v>45566</v>
      </c>
      <c r="M2" s="26"/>
      <c r="N2" s="25">
        <v>45597</v>
      </c>
      <c r="O2" s="26"/>
      <c r="P2" s="25">
        <v>45627</v>
      </c>
      <c r="Q2" s="26"/>
      <c r="R2" s="25">
        <v>45658</v>
      </c>
      <c r="S2" s="26"/>
      <c r="T2" s="25">
        <v>45689</v>
      </c>
      <c r="U2" s="26"/>
      <c r="V2" s="25">
        <v>45717</v>
      </c>
      <c r="W2" s="26"/>
      <c r="X2" s="25">
        <v>45748</v>
      </c>
      <c r="Y2" s="26"/>
      <c r="Z2" s="25">
        <v>45778</v>
      </c>
      <c r="AA2" s="26"/>
      <c r="AB2" s="39" t="s">
        <v>0</v>
      </c>
      <c r="AC2" s="26"/>
      <c r="AD2" s="9"/>
    </row>
    <row r="3" spans="1:30" x14ac:dyDescent="0.2">
      <c r="A3" s="36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3"/>
    </row>
    <row r="4" spans="1:30" ht="43.2" x14ac:dyDescent="0.25">
      <c r="A4" s="10" t="s">
        <v>21</v>
      </c>
      <c r="B4" s="5" t="s">
        <v>2</v>
      </c>
      <c r="C4" s="6">
        <v>51029.4</v>
      </c>
      <c r="D4" s="5" t="s">
        <v>2</v>
      </c>
      <c r="E4" s="6">
        <v>59029.4</v>
      </c>
      <c r="F4" s="5" t="s">
        <v>2</v>
      </c>
      <c r="G4" s="6">
        <v>59029.4</v>
      </c>
      <c r="H4" s="5" t="s">
        <v>2</v>
      </c>
      <c r="I4" s="6">
        <v>59029.4</v>
      </c>
      <c r="J4" s="5" t="s">
        <v>2</v>
      </c>
      <c r="K4" s="6">
        <v>59029.4</v>
      </c>
      <c r="L4" s="5" t="s">
        <v>2</v>
      </c>
      <c r="M4" s="6">
        <v>59029.4</v>
      </c>
      <c r="N4" s="5" t="s">
        <v>2</v>
      </c>
      <c r="O4" s="6">
        <v>59029.4</v>
      </c>
      <c r="P4" s="5" t="s">
        <v>2</v>
      </c>
      <c r="Q4" s="6">
        <v>59029.4</v>
      </c>
      <c r="R4" s="5" t="s">
        <v>2</v>
      </c>
      <c r="S4" s="6">
        <v>27029.4</v>
      </c>
      <c r="T4" s="5" t="s">
        <v>2</v>
      </c>
      <c r="U4" s="6">
        <v>27029.4</v>
      </c>
      <c r="V4" s="5" t="s">
        <v>2</v>
      </c>
      <c r="W4" s="6">
        <v>27029.4</v>
      </c>
      <c r="X4" s="5" t="s">
        <v>2</v>
      </c>
      <c r="Y4" s="6">
        <v>27029.4</v>
      </c>
      <c r="Z4" s="5" t="s">
        <v>2</v>
      </c>
      <c r="AA4" s="6">
        <v>27029.4</v>
      </c>
      <c r="AB4" s="5" t="s">
        <v>2</v>
      </c>
      <c r="AC4" s="6">
        <f>SUM(C4,E4,G4,I4,K4,M4,O4,Q4,S4,U4,W4,Y4,AA4)</f>
        <v>599382.20000000019</v>
      </c>
      <c r="AD4" s="9"/>
    </row>
    <row r="5" spans="1:30" ht="32.4" x14ac:dyDescent="0.2">
      <c r="A5" s="11" t="s">
        <v>19</v>
      </c>
      <c r="B5" s="5" t="s">
        <v>2</v>
      </c>
      <c r="C5" s="12" t="s">
        <v>3</v>
      </c>
      <c r="D5" s="5" t="s">
        <v>2</v>
      </c>
      <c r="E5" s="12" t="s">
        <v>3</v>
      </c>
      <c r="F5" s="5" t="s">
        <v>2</v>
      </c>
      <c r="G5" s="12" t="s">
        <v>3</v>
      </c>
      <c r="H5" s="5" t="s">
        <v>2</v>
      </c>
      <c r="I5" s="12" t="s">
        <v>3</v>
      </c>
      <c r="J5" s="5" t="s">
        <v>2</v>
      </c>
      <c r="K5" s="12" t="s">
        <v>3</v>
      </c>
      <c r="L5" s="5" t="s">
        <v>2</v>
      </c>
      <c r="M5" s="12" t="s">
        <v>3</v>
      </c>
      <c r="N5" s="5" t="s">
        <v>2</v>
      </c>
      <c r="O5" s="12" t="s">
        <v>3</v>
      </c>
      <c r="P5" s="5" t="s">
        <v>2</v>
      </c>
      <c r="Q5" s="12" t="s">
        <v>3</v>
      </c>
      <c r="R5" s="5" t="s">
        <v>2</v>
      </c>
      <c r="S5" s="6">
        <v>35300</v>
      </c>
      <c r="T5" s="5" t="s">
        <v>2</v>
      </c>
      <c r="U5" s="6">
        <v>35300</v>
      </c>
      <c r="V5" s="5" t="s">
        <v>2</v>
      </c>
      <c r="W5" s="6">
        <v>35300</v>
      </c>
      <c r="X5" s="5" t="s">
        <v>2</v>
      </c>
      <c r="Y5" s="6">
        <v>35300</v>
      </c>
      <c r="Z5" s="5" t="s">
        <v>2</v>
      </c>
      <c r="AA5" s="6">
        <v>35300</v>
      </c>
      <c r="AB5" s="5" t="s">
        <v>2</v>
      </c>
      <c r="AC5" s="6">
        <f>SUM(C5,E5,G5,I5,K5,M5,O5,Q5,S5,U5,W5,Y5,AA5)</f>
        <v>176500</v>
      </c>
      <c r="AD5" s="3"/>
    </row>
    <row r="6" spans="1:30" x14ac:dyDescent="0.2">
      <c r="A6" s="11" t="s">
        <v>4</v>
      </c>
      <c r="B6" s="23" t="s">
        <v>3</v>
      </c>
      <c r="C6" s="24"/>
      <c r="D6" s="23" t="s">
        <v>3</v>
      </c>
      <c r="E6" s="24"/>
      <c r="F6" s="23" t="s">
        <v>3</v>
      </c>
      <c r="G6" s="24"/>
      <c r="H6" s="23" t="s">
        <v>3</v>
      </c>
      <c r="I6" s="24"/>
      <c r="J6" s="23" t="s">
        <v>3</v>
      </c>
      <c r="K6" s="24"/>
      <c r="L6" s="23" t="s">
        <v>3</v>
      </c>
      <c r="M6" s="24"/>
      <c r="N6" s="23" t="s">
        <v>3</v>
      </c>
      <c r="O6" s="24"/>
      <c r="P6" s="23" t="s">
        <v>3</v>
      </c>
      <c r="Q6" s="24"/>
      <c r="R6" s="23" t="s">
        <v>3</v>
      </c>
      <c r="S6" s="24"/>
      <c r="T6" s="23" t="s">
        <v>3</v>
      </c>
      <c r="U6" s="24"/>
      <c r="V6" s="23" t="s">
        <v>3</v>
      </c>
      <c r="W6" s="24"/>
      <c r="X6" s="23" t="s">
        <v>3</v>
      </c>
      <c r="Y6" s="24"/>
      <c r="Z6" s="23" t="s">
        <v>3</v>
      </c>
      <c r="AA6" s="24"/>
      <c r="AB6" s="5" t="s">
        <v>2</v>
      </c>
      <c r="AC6" s="12" t="s">
        <v>3</v>
      </c>
      <c r="AD6" s="3"/>
    </row>
    <row r="7" spans="1:30" ht="21.6" x14ac:dyDescent="0.2">
      <c r="A7" s="11" t="s">
        <v>5</v>
      </c>
      <c r="B7" s="23" t="s">
        <v>3</v>
      </c>
      <c r="C7" s="24"/>
      <c r="D7" s="23" t="s">
        <v>3</v>
      </c>
      <c r="E7" s="24"/>
      <c r="F7" s="23" t="s">
        <v>3</v>
      </c>
      <c r="G7" s="24"/>
      <c r="H7" s="23" t="s">
        <v>3</v>
      </c>
      <c r="I7" s="24"/>
      <c r="J7" s="23" t="s">
        <v>3</v>
      </c>
      <c r="K7" s="24"/>
      <c r="L7" s="23" t="s">
        <v>3</v>
      </c>
      <c r="M7" s="24"/>
      <c r="N7" s="23" t="s">
        <v>3</v>
      </c>
      <c r="O7" s="24"/>
      <c r="P7" s="23" t="s">
        <v>3</v>
      </c>
      <c r="Q7" s="24"/>
      <c r="R7" s="23" t="s">
        <v>3</v>
      </c>
      <c r="S7" s="24"/>
      <c r="T7" s="23" t="s">
        <v>3</v>
      </c>
      <c r="U7" s="24"/>
      <c r="V7" s="23" t="s">
        <v>3</v>
      </c>
      <c r="W7" s="24"/>
      <c r="X7" s="23" t="s">
        <v>3</v>
      </c>
      <c r="Y7" s="24"/>
      <c r="Z7" s="23" t="s">
        <v>3</v>
      </c>
      <c r="AA7" s="24"/>
      <c r="AB7" s="5" t="s">
        <v>2</v>
      </c>
      <c r="AC7" s="13" t="s">
        <v>3</v>
      </c>
      <c r="AD7" s="3"/>
    </row>
    <row r="8" spans="1:30" ht="21.6" x14ac:dyDescent="0.2">
      <c r="A8" s="11" t="s">
        <v>6</v>
      </c>
      <c r="B8" s="23" t="s">
        <v>3</v>
      </c>
      <c r="C8" s="24"/>
      <c r="D8" s="23" t="s">
        <v>3</v>
      </c>
      <c r="E8" s="24"/>
      <c r="F8" s="23" t="s">
        <v>3</v>
      </c>
      <c r="G8" s="24"/>
      <c r="H8" s="23" t="s">
        <v>3</v>
      </c>
      <c r="I8" s="24"/>
      <c r="J8" s="23" t="s">
        <v>3</v>
      </c>
      <c r="K8" s="24"/>
      <c r="L8" s="23" t="s">
        <v>3</v>
      </c>
      <c r="M8" s="24"/>
      <c r="N8" s="23" t="s">
        <v>3</v>
      </c>
      <c r="O8" s="24"/>
      <c r="P8" s="23" t="s">
        <v>3</v>
      </c>
      <c r="Q8" s="24"/>
      <c r="R8" s="23" t="s">
        <v>3</v>
      </c>
      <c r="S8" s="24"/>
      <c r="T8" s="23" t="s">
        <v>3</v>
      </c>
      <c r="U8" s="24"/>
      <c r="V8" s="23" t="s">
        <v>3</v>
      </c>
      <c r="W8" s="24"/>
      <c r="X8" s="23" t="s">
        <v>3</v>
      </c>
      <c r="Y8" s="24"/>
      <c r="Z8" s="23" t="s">
        <v>3</v>
      </c>
      <c r="AA8" s="24"/>
      <c r="AB8" s="23" t="s">
        <v>3</v>
      </c>
      <c r="AC8" s="24"/>
      <c r="AD8" s="3"/>
    </row>
    <row r="9" spans="1:30" x14ac:dyDescent="0.2">
      <c r="A9" s="14" t="s">
        <v>7</v>
      </c>
      <c r="B9" s="1" t="s">
        <v>2</v>
      </c>
      <c r="C9" s="15">
        <f>SUM(C4,C5,B6,B7,B8)</f>
        <v>51029.4</v>
      </c>
      <c r="D9" s="1" t="s">
        <v>2</v>
      </c>
      <c r="E9" s="15">
        <f>SUM(E4,E5,D6,D7,D8)</f>
        <v>59029.4</v>
      </c>
      <c r="F9" s="1" t="s">
        <v>2</v>
      </c>
      <c r="G9" s="15">
        <f>SUM(G4,G5,F6,F7,F8)</f>
        <v>59029.4</v>
      </c>
      <c r="H9" s="1" t="s">
        <v>2</v>
      </c>
      <c r="I9" s="15">
        <f>SUM(I4,I5,H6,H7,H8)</f>
        <v>59029.4</v>
      </c>
      <c r="J9" s="1" t="s">
        <v>2</v>
      </c>
      <c r="K9" s="15">
        <f>SUM(K4,K5,J6,J7,J8)</f>
        <v>59029.4</v>
      </c>
      <c r="L9" s="1" t="s">
        <v>2</v>
      </c>
      <c r="M9" s="15">
        <f>SUM(M4,M5,L6,L7,L8)</f>
        <v>59029.4</v>
      </c>
      <c r="N9" s="1" t="s">
        <v>2</v>
      </c>
      <c r="O9" s="15">
        <f>SUM(O4,O5,N6,N7,N8)</f>
        <v>59029.4</v>
      </c>
      <c r="P9" s="1" t="s">
        <v>2</v>
      </c>
      <c r="Q9" s="15">
        <f>SUM(Q4,Q5,P6,P7,P8)</f>
        <v>59029.4</v>
      </c>
      <c r="R9" s="1" t="s">
        <v>2</v>
      </c>
      <c r="S9" s="15">
        <f>SUM(S4,S5,R6,R7,R8)</f>
        <v>62329.4</v>
      </c>
      <c r="T9" s="1" t="s">
        <v>2</v>
      </c>
      <c r="U9" s="15">
        <f>SUM(U4,U5,T6,T7,T8)</f>
        <v>62329.4</v>
      </c>
      <c r="V9" s="1" t="s">
        <v>2</v>
      </c>
      <c r="W9" s="15">
        <f>SUM(W4,W5,V6,V7,V8)</f>
        <v>62329.4</v>
      </c>
      <c r="X9" s="1" t="s">
        <v>2</v>
      </c>
      <c r="Y9" s="15">
        <f>SUM(Y4,Y5,X6,X7,X8)</f>
        <v>62329.4</v>
      </c>
      <c r="Z9" s="1" t="s">
        <v>2</v>
      </c>
      <c r="AA9" s="15">
        <f>SUM(AA4,AA5,Z6,Z7,Z8)</f>
        <v>62329.4</v>
      </c>
      <c r="AB9" s="1" t="s">
        <v>2</v>
      </c>
      <c r="AC9" s="15">
        <f>SUM(C9,E9,G9,I9,K9,M9,O9,Q9,S9,U9,W9,Y9,AA9)</f>
        <v>775882.20000000019</v>
      </c>
      <c r="AD9" s="3"/>
    </row>
    <row r="10" spans="1:30" x14ac:dyDescent="0.2">
      <c r="A10" s="36" t="s">
        <v>8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8"/>
      <c r="AD10" s="3"/>
    </row>
    <row r="11" spans="1:30" ht="21.6" x14ac:dyDescent="0.2">
      <c r="A11" s="11" t="s">
        <v>9</v>
      </c>
      <c r="B11" s="23"/>
      <c r="C11" s="24"/>
      <c r="D11" s="23" t="s">
        <v>3</v>
      </c>
      <c r="E11" s="24"/>
      <c r="F11" s="23" t="s">
        <v>3</v>
      </c>
      <c r="G11" s="24"/>
      <c r="H11" s="23" t="s">
        <v>3</v>
      </c>
      <c r="I11" s="24"/>
      <c r="J11" s="23" t="s">
        <v>3</v>
      </c>
      <c r="K11" s="24"/>
      <c r="L11" s="23" t="s">
        <v>3</v>
      </c>
      <c r="M11" s="24"/>
      <c r="N11" s="23" t="s">
        <v>3</v>
      </c>
      <c r="O11" s="24"/>
      <c r="P11" s="23" t="s">
        <v>3</v>
      </c>
      <c r="Q11" s="24"/>
      <c r="R11" s="23" t="s">
        <v>3</v>
      </c>
      <c r="S11" s="24"/>
      <c r="T11" s="23" t="s">
        <v>3</v>
      </c>
      <c r="U11" s="24"/>
      <c r="V11" s="23" t="s">
        <v>3</v>
      </c>
      <c r="W11" s="24"/>
      <c r="X11" s="23" t="s">
        <v>3</v>
      </c>
      <c r="Y11" s="24"/>
      <c r="Z11" s="23" t="s">
        <v>3</v>
      </c>
      <c r="AA11" s="24"/>
      <c r="AB11" s="23" t="s">
        <v>3</v>
      </c>
      <c r="AC11" s="24"/>
      <c r="AD11" s="3"/>
    </row>
    <row r="12" spans="1:30" ht="75.599999999999994" x14ac:dyDescent="0.25">
      <c r="A12" s="10" t="s">
        <v>22</v>
      </c>
      <c r="B12" s="16" t="s">
        <v>2</v>
      </c>
      <c r="C12" s="17">
        <v>50512.35</v>
      </c>
      <c r="D12" s="16" t="s">
        <v>2</v>
      </c>
      <c r="E12" s="17">
        <v>50512.35</v>
      </c>
      <c r="F12" s="16" t="s">
        <v>2</v>
      </c>
      <c r="G12" s="17">
        <v>50512.35</v>
      </c>
      <c r="H12" s="16" t="s">
        <v>2</v>
      </c>
      <c r="I12" s="17">
        <v>50512.35</v>
      </c>
      <c r="J12" s="16" t="s">
        <v>2</v>
      </c>
      <c r="K12" s="17">
        <v>68999.350000000006</v>
      </c>
      <c r="L12" s="16" t="s">
        <v>2</v>
      </c>
      <c r="M12" s="17">
        <v>53050.75</v>
      </c>
      <c r="N12" s="16" t="s">
        <v>2</v>
      </c>
      <c r="O12" s="17">
        <v>53050.75</v>
      </c>
      <c r="P12" s="16" t="s">
        <v>2</v>
      </c>
      <c r="Q12" s="17">
        <v>53050.75</v>
      </c>
      <c r="R12" s="16" t="s">
        <v>2</v>
      </c>
      <c r="S12" s="17">
        <v>53581.55</v>
      </c>
      <c r="T12" s="16" t="s">
        <v>2</v>
      </c>
      <c r="U12" s="17">
        <v>53581.55</v>
      </c>
      <c r="V12" s="16" t="s">
        <v>2</v>
      </c>
      <c r="W12" s="17">
        <v>53581.55</v>
      </c>
      <c r="X12" s="16" t="s">
        <v>2</v>
      </c>
      <c r="Y12" s="17">
        <v>53581.55</v>
      </c>
      <c r="Z12" s="16" t="s">
        <v>2</v>
      </c>
      <c r="AA12" s="17">
        <v>53581.55</v>
      </c>
      <c r="AB12" s="16" t="s">
        <v>2</v>
      </c>
      <c r="AC12" s="18">
        <f>SUM(C12,E12,G12,I12,K12,M12,O12,Q12,S12,U12,W12,Y12,AA12)</f>
        <v>698108.75000000012</v>
      </c>
      <c r="AD12" s="19"/>
    </row>
    <row r="13" spans="1:30" ht="43.2" x14ac:dyDescent="0.25">
      <c r="A13" s="10" t="s">
        <v>23</v>
      </c>
      <c r="B13" s="16" t="s">
        <v>2</v>
      </c>
      <c r="C13" s="20">
        <v>475</v>
      </c>
      <c r="D13" s="16" t="s">
        <v>2</v>
      </c>
      <c r="E13" s="20">
        <v>475</v>
      </c>
      <c r="F13" s="16" t="s">
        <v>2</v>
      </c>
      <c r="G13" s="20">
        <v>475</v>
      </c>
      <c r="H13" s="16" t="s">
        <v>2</v>
      </c>
      <c r="I13" s="20">
        <v>475</v>
      </c>
      <c r="J13" s="16" t="s">
        <v>2</v>
      </c>
      <c r="K13" s="20">
        <v>475</v>
      </c>
      <c r="L13" s="16" t="s">
        <v>2</v>
      </c>
      <c r="M13" s="20">
        <v>475</v>
      </c>
      <c r="N13" s="16" t="s">
        <v>2</v>
      </c>
      <c r="O13" s="20">
        <v>475</v>
      </c>
      <c r="P13" s="16" t="s">
        <v>2</v>
      </c>
      <c r="Q13" s="20">
        <v>475</v>
      </c>
      <c r="R13" s="16" t="s">
        <v>2</v>
      </c>
      <c r="S13" s="20">
        <v>475</v>
      </c>
      <c r="T13" s="16" t="s">
        <v>2</v>
      </c>
      <c r="U13" s="20">
        <v>475</v>
      </c>
      <c r="V13" s="16" t="s">
        <v>2</v>
      </c>
      <c r="W13" s="20">
        <v>475</v>
      </c>
      <c r="X13" s="16" t="s">
        <v>2</v>
      </c>
      <c r="Y13" s="20">
        <v>475</v>
      </c>
      <c r="Z13" s="16" t="s">
        <v>2</v>
      </c>
      <c r="AA13" s="20">
        <v>475</v>
      </c>
      <c r="AB13" s="16" t="s">
        <v>2</v>
      </c>
      <c r="AC13" s="17">
        <f>SUM(C13,E13,G13,I13,K13,M13,O13,Q13,S13,U13,W13,Y13,AA13)</f>
        <v>6175</v>
      </c>
      <c r="AD13" s="9"/>
    </row>
    <row r="14" spans="1:30" x14ac:dyDescent="0.2">
      <c r="A14" s="11" t="s">
        <v>10</v>
      </c>
      <c r="B14" s="5" t="s">
        <v>2</v>
      </c>
      <c r="C14" s="6">
        <v>1400</v>
      </c>
      <c r="D14" s="5" t="s">
        <v>2</v>
      </c>
      <c r="E14" s="6">
        <v>1400</v>
      </c>
      <c r="F14" s="5" t="s">
        <v>2</v>
      </c>
      <c r="G14" s="6">
        <v>1400</v>
      </c>
      <c r="H14" s="5" t="s">
        <v>2</v>
      </c>
      <c r="I14" s="6">
        <v>1400</v>
      </c>
      <c r="J14" s="5" t="s">
        <v>2</v>
      </c>
      <c r="K14" s="6">
        <v>1400</v>
      </c>
      <c r="L14" s="5" t="s">
        <v>2</v>
      </c>
      <c r="M14" s="6">
        <v>1400</v>
      </c>
      <c r="N14" s="5" t="s">
        <v>2</v>
      </c>
      <c r="O14" s="6">
        <v>1400</v>
      </c>
      <c r="P14" s="5" t="s">
        <v>2</v>
      </c>
      <c r="Q14" s="6">
        <v>1400</v>
      </c>
      <c r="R14" s="5" t="s">
        <v>2</v>
      </c>
      <c r="S14" s="6">
        <v>1400</v>
      </c>
      <c r="T14" s="5" t="s">
        <v>2</v>
      </c>
      <c r="U14" s="6">
        <v>1400</v>
      </c>
      <c r="V14" s="5" t="s">
        <v>2</v>
      </c>
      <c r="W14" s="6">
        <v>1400</v>
      </c>
      <c r="X14" s="5" t="s">
        <v>2</v>
      </c>
      <c r="Y14" s="6">
        <v>1400</v>
      </c>
      <c r="Z14" s="5" t="s">
        <v>2</v>
      </c>
      <c r="AA14" s="6">
        <v>1400</v>
      </c>
      <c r="AB14" s="5" t="s">
        <v>2</v>
      </c>
      <c r="AC14" s="17">
        <f>SUM(C14,E14,G14,I14,K14,M14,O14,Q14,S14,U14,W14,Y14,AA14)</f>
        <v>18200</v>
      </c>
      <c r="AD14" s="3"/>
    </row>
    <row r="15" spans="1:30" ht="32.4" x14ac:dyDescent="0.2">
      <c r="A15" s="11" t="s">
        <v>11</v>
      </c>
      <c r="B15" s="5" t="s">
        <v>2</v>
      </c>
      <c r="C15" s="21">
        <v>705</v>
      </c>
      <c r="D15" s="5" t="s">
        <v>2</v>
      </c>
      <c r="E15" s="21">
        <v>705</v>
      </c>
      <c r="F15" s="5" t="s">
        <v>2</v>
      </c>
      <c r="G15" s="21">
        <v>705</v>
      </c>
      <c r="H15" s="5" t="s">
        <v>2</v>
      </c>
      <c r="I15" s="21">
        <v>705</v>
      </c>
      <c r="J15" s="5" t="s">
        <v>2</v>
      </c>
      <c r="K15" s="21">
        <v>705</v>
      </c>
      <c r="L15" s="5" t="s">
        <v>2</v>
      </c>
      <c r="M15" s="21">
        <v>705</v>
      </c>
      <c r="N15" s="5" t="s">
        <v>2</v>
      </c>
      <c r="O15" s="21">
        <v>705</v>
      </c>
      <c r="P15" s="5" t="s">
        <v>2</v>
      </c>
      <c r="Q15" s="21">
        <v>705</v>
      </c>
      <c r="R15" s="5" t="s">
        <v>2</v>
      </c>
      <c r="S15" s="21">
        <v>705</v>
      </c>
      <c r="T15" s="5" t="s">
        <v>2</v>
      </c>
      <c r="U15" s="21">
        <v>705</v>
      </c>
      <c r="V15" s="5" t="s">
        <v>2</v>
      </c>
      <c r="W15" s="21">
        <v>705</v>
      </c>
      <c r="X15" s="5" t="s">
        <v>2</v>
      </c>
      <c r="Y15" s="21">
        <v>705</v>
      </c>
      <c r="Z15" s="5" t="s">
        <v>2</v>
      </c>
      <c r="AA15" s="21">
        <v>705</v>
      </c>
      <c r="AB15" s="5" t="s">
        <v>2</v>
      </c>
      <c r="AC15" s="17">
        <f t="shared" ref="AC15:AC22" si="0">SUM(C15,E15,G15,I15,K15,M15,O15,Q15,S15,U15,W15,Y15,AA15)</f>
        <v>9165</v>
      </c>
      <c r="AD15" s="3"/>
    </row>
    <row r="16" spans="1:30" ht="32.4" x14ac:dyDescent="0.2">
      <c r="A16" s="11" t="s">
        <v>12</v>
      </c>
      <c r="B16" s="23" t="s">
        <v>3</v>
      </c>
      <c r="C16" s="24"/>
      <c r="D16" s="23" t="s">
        <v>3</v>
      </c>
      <c r="E16" s="24"/>
      <c r="F16" s="5" t="s">
        <v>2</v>
      </c>
      <c r="G16" s="6">
        <v>4213</v>
      </c>
      <c r="H16" s="5" t="s">
        <v>2</v>
      </c>
      <c r="I16" s="6">
        <v>3890</v>
      </c>
      <c r="J16" s="5" t="s">
        <v>2</v>
      </c>
      <c r="K16" s="6">
        <v>6278</v>
      </c>
      <c r="L16" s="23" t="s">
        <v>3</v>
      </c>
      <c r="M16" s="24"/>
      <c r="N16" s="23" t="s">
        <v>3</v>
      </c>
      <c r="O16" s="24"/>
      <c r="P16" s="23" t="s">
        <v>3</v>
      </c>
      <c r="Q16" s="24"/>
      <c r="R16" s="23" t="s">
        <v>3</v>
      </c>
      <c r="S16" s="24"/>
      <c r="T16" s="23" t="s">
        <v>3</v>
      </c>
      <c r="U16" s="24"/>
      <c r="V16" s="23" t="s">
        <v>3</v>
      </c>
      <c r="W16" s="24"/>
      <c r="X16" s="23" t="s">
        <v>3</v>
      </c>
      <c r="Y16" s="24"/>
      <c r="Z16" s="23" t="s">
        <v>3</v>
      </c>
      <c r="AA16" s="24"/>
      <c r="AB16" s="5" t="s">
        <v>2</v>
      </c>
      <c r="AC16" s="17">
        <f t="shared" si="0"/>
        <v>14381</v>
      </c>
      <c r="AD16" s="3"/>
    </row>
    <row r="17" spans="1:30" ht="21.6" x14ac:dyDescent="0.2">
      <c r="A17" s="11" t="s">
        <v>13</v>
      </c>
      <c r="B17" s="5" t="s">
        <v>2</v>
      </c>
      <c r="C17" s="6">
        <v>159</v>
      </c>
      <c r="D17" s="5" t="s">
        <v>2</v>
      </c>
      <c r="E17" s="6">
        <v>67</v>
      </c>
      <c r="F17" s="5" t="s">
        <v>2</v>
      </c>
      <c r="G17" s="12">
        <v>5357.95</v>
      </c>
      <c r="H17" s="5" t="s">
        <v>2</v>
      </c>
      <c r="I17" s="6">
        <v>425.81999999999994</v>
      </c>
      <c r="J17" s="5" t="s">
        <v>2</v>
      </c>
      <c r="K17" s="6">
        <v>1379.8600000000001</v>
      </c>
      <c r="L17" s="5" t="s">
        <v>2</v>
      </c>
      <c r="M17" s="6">
        <v>878.19</v>
      </c>
      <c r="N17" s="23" t="s">
        <v>3</v>
      </c>
      <c r="O17" s="24"/>
      <c r="P17" s="23" t="s">
        <v>3</v>
      </c>
      <c r="Q17" s="24"/>
      <c r="R17" s="5" t="s">
        <v>2</v>
      </c>
      <c r="S17" s="6">
        <v>400</v>
      </c>
      <c r="T17" s="5" t="s">
        <v>2</v>
      </c>
      <c r="U17" s="6">
        <v>400</v>
      </c>
      <c r="V17" s="5" t="s">
        <v>2</v>
      </c>
      <c r="W17" s="6">
        <v>400</v>
      </c>
      <c r="X17" s="5" t="s">
        <v>2</v>
      </c>
      <c r="Y17" s="6">
        <v>400</v>
      </c>
      <c r="Z17" s="5" t="s">
        <v>2</v>
      </c>
      <c r="AA17" s="6">
        <v>400</v>
      </c>
      <c r="AB17" s="5" t="s">
        <v>2</v>
      </c>
      <c r="AC17" s="17">
        <f t="shared" si="0"/>
        <v>10267.82</v>
      </c>
      <c r="AD17" s="3"/>
    </row>
    <row r="18" spans="1:30" x14ac:dyDescent="0.2">
      <c r="A18" s="11" t="s">
        <v>14</v>
      </c>
      <c r="B18" s="23" t="s">
        <v>3</v>
      </c>
      <c r="C18" s="24"/>
      <c r="D18" s="23" t="s">
        <v>3</v>
      </c>
      <c r="E18" s="24"/>
      <c r="F18" s="23" t="s">
        <v>3</v>
      </c>
      <c r="G18" s="24"/>
      <c r="H18" s="23" t="s">
        <v>3</v>
      </c>
      <c r="I18" s="24"/>
      <c r="J18" s="23" t="s">
        <v>3</v>
      </c>
      <c r="K18" s="24"/>
      <c r="L18" s="23" t="s">
        <v>3</v>
      </c>
      <c r="M18" s="24"/>
      <c r="N18" s="23" t="s">
        <v>3</v>
      </c>
      <c r="O18" s="24"/>
      <c r="P18" s="23" t="s">
        <v>3</v>
      </c>
      <c r="Q18" s="24"/>
      <c r="R18" s="23" t="s">
        <v>3</v>
      </c>
      <c r="S18" s="24"/>
      <c r="T18" s="23" t="s">
        <v>3</v>
      </c>
      <c r="U18" s="24"/>
      <c r="V18" s="23" t="s">
        <v>3</v>
      </c>
      <c r="W18" s="24"/>
      <c r="X18" s="23" t="s">
        <v>3</v>
      </c>
      <c r="Y18" s="24"/>
      <c r="Z18" s="23" t="s">
        <v>3</v>
      </c>
      <c r="AA18" s="24"/>
      <c r="AB18" s="5" t="s">
        <v>2</v>
      </c>
      <c r="AC18" s="17">
        <f t="shared" si="0"/>
        <v>0</v>
      </c>
      <c r="AD18" s="3"/>
    </row>
    <row r="19" spans="1:30" x14ac:dyDescent="0.25">
      <c r="A19" s="11" t="s">
        <v>15</v>
      </c>
      <c r="B19" s="23" t="s">
        <v>3</v>
      </c>
      <c r="C19" s="24"/>
      <c r="D19" s="23" t="s">
        <v>3</v>
      </c>
      <c r="E19" s="24"/>
      <c r="F19" s="23" t="s">
        <v>3</v>
      </c>
      <c r="G19" s="24"/>
      <c r="H19" s="23" t="s">
        <v>3</v>
      </c>
      <c r="I19" s="24"/>
      <c r="J19" s="23" t="s">
        <v>3</v>
      </c>
      <c r="K19" s="24"/>
      <c r="L19" s="23" t="s">
        <v>3</v>
      </c>
      <c r="M19" s="24"/>
      <c r="N19" s="23" t="s">
        <v>3</v>
      </c>
      <c r="O19" s="24"/>
      <c r="P19" s="23" t="s">
        <v>3</v>
      </c>
      <c r="Q19" s="24"/>
      <c r="R19" s="23" t="s">
        <v>3</v>
      </c>
      <c r="S19" s="24"/>
      <c r="T19" s="23" t="s">
        <v>3</v>
      </c>
      <c r="U19" s="24"/>
      <c r="V19" s="23" t="s">
        <v>3</v>
      </c>
      <c r="W19" s="24"/>
      <c r="X19" s="23" t="s">
        <v>3</v>
      </c>
      <c r="Y19" s="24"/>
      <c r="Z19" s="23" t="s">
        <v>3</v>
      </c>
      <c r="AA19" s="24"/>
      <c r="AB19" s="5" t="s">
        <v>2</v>
      </c>
      <c r="AC19" s="17">
        <f t="shared" si="0"/>
        <v>0</v>
      </c>
      <c r="AD19" s="9"/>
    </row>
    <row r="20" spans="1:30" x14ac:dyDescent="0.25">
      <c r="A20" s="11" t="s">
        <v>16</v>
      </c>
      <c r="B20" s="5" t="s">
        <v>2</v>
      </c>
      <c r="C20" s="6">
        <v>2087</v>
      </c>
      <c r="D20" s="5" t="s">
        <v>2</v>
      </c>
      <c r="E20" s="6">
        <v>3750</v>
      </c>
      <c r="F20" s="5" t="s">
        <v>2</v>
      </c>
      <c r="G20" s="6">
        <v>3750</v>
      </c>
      <c r="H20" s="5" t="s">
        <v>2</v>
      </c>
      <c r="I20" s="6">
        <v>3750</v>
      </c>
      <c r="J20" s="5" t="s">
        <v>2</v>
      </c>
      <c r="K20" s="6">
        <v>3750</v>
      </c>
      <c r="L20" s="5" t="s">
        <v>2</v>
      </c>
      <c r="M20" s="6">
        <v>3750</v>
      </c>
      <c r="N20" s="5" t="s">
        <v>2</v>
      </c>
      <c r="O20" s="6">
        <v>3750</v>
      </c>
      <c r="P20" s="5" t="s">
        <v>2</v>
      </c>
      <c r="Q20" s="6">
        <v>3750</v>
      </c>
      <c r="R20" s="5" t="s">
        <v>2</v>
      </c>
      <c r="S20" s="6">
        <v>3750</v>
      </c>
      <c r="T20" s="5" t="s">
        <v>2</v>
      </c>
      <c r="U20" s="6">
        <v>3750</v>
      </c>
      <c r="V20" s="5" t="s">
        <v>2</v>
      </c>
      <c r="W20" s="6">
        <v>3750</v>
      </c>
      <c r="X20" s="5" t="s">
        <v>2</v>
      </c>
      <c r="Y20" s="6">
        <v>3750</v>
      </c>
      <c r="Z20" s="5" t="s">
        <v>2</v>
      </c>
      <c r="AA20" s="6">
        <v>3750</v>
      </c>
      <c r="AB20" s="5" t="s">
        <v>2</v>
      </c>
      <c r="AC20" s="17">
        <f t="shared" si="0"/>
        <v>47087</v>
      </c>
      <c r="AD20" s="9"/>
    </row>
    <row r="21" spans="1:30" x14ac:dyDescent="0.2">
      <c r="A21" s="14" t="s">
        <v>17</v>
      </c>
      <c r="B21" s="1" t="s">
        <v>2</v>
      </c>
      <c r="C21" s="15">
        <f>SUM(C12,C13,C14,C15,B16,C17,B18,B19,C20)</f>
        <v>55338.35</v>
      </c>
      <c r="D21" s="1" t="s">
        <v>2</v>
      </c>
      <c r="E21" s="15">
        <f>SUM(E12,E13,E14,E15,D16,E17,D18,D19,E20)</f>
        <v>56909.35</v>
      </c>
      <c r="F21" s="1" t="s">
        <v>2</v>
      </c>
      <c r="G21" s="15">
        <f>SUM(G12,G13,G14,G15,I16,G17,F18,F19,G20)</f>
        <v>66090.299999999988</v>
      </c>
      <c r="H21" s="1" t="s">
        <v>2</v>
      </c>
      <c r="I21" s="15">
        <f>SUM(I12,I13,I14,I15,I16,I17,H18,H19,I20)</f>
        <v>61158.17</v>
      </c>
      <c r="J21" s="1" t="s">
        <v>2</v>
      </c>
      <c r="K21" s="15">
        <f>SUM(K12,K13,K14,K15,K16,K17,J18,J19,K20)</f>
        <v>82987.210000000006</v>
      </c>
      <c r="L21" s="1" t="s">
        <v>2</v>
      </c>
      <c r="M21" s="15">
        <f>SUM(M12,M13,M14,M15,L16,M17,L18,L19,M20)</f>
        <v>60258.94</v>
      </c>
      <c r="N21" s="1" t="s">
        <v>2</v>
      </c>
      <c r="O21" s="15">
        <f>SUM(O12,O13,O14,O15,N16,O17,N18,N19,O20)</f>
        <v>59380.75</v>
      </c>
      <c r="P21" s="1" t="s">
        <v>2</v>
      </c>
      <c r="Q21" s="15">
        <f>SUM(Q12,Q13,Q14,Q15,P16,Q17,P18,P19,Q20)</f>
        <v>59380.75</v>
      </c>
      <c r="R21" s="1" t="s">
        <v>2</v>
      </c>
      <c r="S21" s="15">
        <f>SUM(S12,S13,S14,S15,R16,S17,R18,R19,S20)</f>
        <v>60311.55</v>
      </c>
      <c r="T21" s="1" t="s">
        <v>2</v>
      </c>
      <c r="U21" s="15">
        <f>SUM(U12,U13,U14,U15,T16,U17,T18,T19,U20)</f>
        <v>60311.55</v>
      </c>
      <c r="V21" s="1" t="s">
        <v>2</v>
      </c>
      <c r="W21" s="15">
        <f>SUM(W12,W13,W14,W15,V16,W17,V18,V19,W20)</f>
        <v>60311.55</v>
      </c>
      <c r="X21" s="1" t="s">
        <v>2</v>
      </c>
      <c r="Y21" s="15">
        <f>SUM(Y12,Y13,Y14,Y15,X16,Y17,X18,X19,Y20)</f>
        <v>60311.55</v>
      </c>
      <c r="Z21" s="1" t="s">
        <v>2</v>
      </c>
      <c r="AA21" s="15">
        <f>SUM(AA12,AA13,AA14,AA15,Z16,AA17,Z18,Z19,AA20)</f>
        <v>60311.55</v>
      </c>
      <c r="AB21" s="1" t="s">
        <v>2</v>
      </c>
      <c r="AC21" s="17">
        <f t="shared" si="0"/>
        <v>803061.57000000018</v>
      </c>
      <c r="AD21" s="3"/>
    </row>
    <row r="22" spans="1:30" ht="21.6" x14ac:dyDescent="0.2">
      <c r="A22" s="14" t="s">
        <v>18</v>
      </c>
      <c r="B22" s="1" t="s">
        <v>2</v>
      </c>
      <c r="C22" s="15">
        <f>C9-C21</f>
        <v>-4308.9499999999971</v>
      </c>
      <c r="D22" s="1" t="s">
        <v>2</v>
      </c>
      <c r="E22" s="15">
        <f>E9-E21</f>
        <v>2120.0500000000029</v>
      </c>
      <c r="F22" s="1" t="s">
        <v>2</v>
      </c>
      <c r="G22" s="15">
        <f>G9-G21</f>
        <v>-7060.8999999999869</v>
      </c>
      <c r="H22" s="1" t="s">
        <v>2</v>
      </c>
      <c r="I22" s="15">
        <f>I9-I21</f>
        <v>-2128.7699999999968</v>
      </c>
      <c r="J22" s="1" t="s">
        <v>2</v>
      </c>
      <c r="K22" s="15">
        <f>K9-K21</f>
        <v>-23957.810000000005</v>
      </c>
      <c r="L22" s="1" t="s">
        <v>2</v>
      </c>
      <c r="M22" s="15">
        <f>M9-M21</f>
        <v>-1229.5400000000009</v>
      </c>
      <c r="N22" s="1" t="s">
        <v>2</v>
      </c>
      <c r="O22" s="15">
        <f>O9-O21</f>
        <v>-351.34999999999854</v>
      </c>
      <c r="P22" s="1" t="s">
        <v>2</v>
      </c>
      <c r="Q22" s="15">
        <f>Q9-Q21</f>
        <v>-351.34999999999854</v>
      </c>
      <c r="R22" s="1" t="s">
        <v>2</v>
      </c>
      <c r="S22" s="15">
        <f>S9-S21</f>
        <v>2017.8499999999985</v>
      </c>
      <c r="T22" s="1" t="s">
        <v>2</v>
      </c>
      <c r="U22" s="15">
        <f>U9-U21</f>
        <v>2017.8499999999985</v>
      </c>
      <c r="V22" s="1" t="s">
        <v>2</v>
      </c>
      <c r="W22" s="15">
        <f>W9-W21</f>
        <v>2017.8499999999985</v>
      </c>
      <c r="X22" s="1" t="s">
        <v>2</v>
      </c>
      <c r="Y22" s="15">
        <f>Y9-Y21</f>
        <v>2017.8499999999985</v>
      </c>
      <c r="Z22" s="1" t="s">
        <v>2</v>
      </c>
      <c r="AA22" s="15">
        <f>AA9-AA21</f>
        <v>2017.8499999999985</v>
      </c>
      <c r="AB22" s="1" t="s">
        <v>2</v>
      </c>
      <c r="AC22" s="6">
        <f t="shared" si="0"/>
        <v>-27179.369999999988</v>
      </c>
      <c r="AD22" s="3"/>
    </row>
    <row r="23" spans="1:30" x14ac:dyDescent="0.2">
      <c r="A23" s="27" t="s">
        <v>24</v>
      </c>
      <c r="B23" s="5" t="s">
        <v>2</v>
      </c>
      <c r="C23" s="6">
        <v>378337.18</v>
      </c>
      <c r="D23" s="5" t="s">
        <v>2</v>
      </c>
      <c r="E23" s="6">
        <f>C24</f>
        <v>374028.23</v>
      </c>
      <c r="F23" s="5" t="s">
        <v>2</v>
      </c>
      <c r="G23" s="6">
        <f>E24</f>
        <v>376148.27999999997</v>
      </c>
      <c r="H23" s="5" t="s">
        <v>2</v>
      </c>
      <c r="I23" s="6">
        <f>G24</f>
        <v>369087.38</v>
      </c>
      <c r="J23" s="5" t="s">
        <v>2</v>
      </c>
      <c r="K23" s="6">
        <f>I24</f>
        <v>366958.61</v>
      </c>
      <c r="L23" s="5" t="s">
        <v>2</v>
      </c>
      <c r="M23" s="6">
        <f>K24</f>
        <v>343000.8</v>
      </c>
      <c r="N23" s="5" t="s">
        <v>2</v>
      </c>
      <c r="O23" s="6">
        <f>M24</f>
        <v>341771.26</v>
      </c>
      <c r="P23" s="5" t="s">
        <v>2</v>
      </c>
      <c r="Q23" s="6">
        <f>O24</f>
        <v>341419.91000000003</v>
      </c>
      <c r="R23" s="5" t="s">
        <v>2</v>
      </c>
      <c r="S23" s="6">
        <f>Q24</f>
        <v>341068.56000000006</v>
      </c>
      <c r="T23" s="5" t="s">
        <v>2</v>
      </c>
      <c r="U23" s="6">
        <f>S24</f>
        <v>343086.41000000003</v>
      </c>
      <c r="V23" s="5" t="s">
        <v>2</v>
      </c>
      <c r="W23" s="6">
        <f>U24</f>
        <v>345104.26</v>
      </c>
      <c r="X23" s="5" t="s">
        <v>2</v>
      </c>
      <c r="Y23" s="6">
        <f>W24</f>
        <v>347122.11</v>
      </c>
      <c r="Z23" s="5" t="s">
        <v>2</v>
      </c>
      <c r="AA23" s="6">
        <f>Y24</f>
        <v>349139.95999999996</v>
      </c>
      <c r="AB23" s="29"/>
      <c r="AC23" s="30"/>
      <c r="AD23" s="3"/>
    </row>
    <row r="24" spans="1:30" x14ac:dyDescent="0.2">
      <c r="A24" s="28"/>
      <c r="B24" s="1" t="s">
        <v>2</v>
      </c>
      <c r="C24" s="2">
        <f>C23-(-C22)</f>
        <v>374028.23</v>
      </c>
      <c r="D24" s="1" t="s">
        <v>2</v>
      </c>
      <c r="E24" s="2">
        <f>E23-(-E22)</f>
        <v>376148.27999999997</v>
      </c>
      <c r="F24" s="1" t="s">
        <v>2</v>
      </c>
      <c r="G24" s="2">
        <f>G23-(-G22)</f>
        <v>369087.38</v>
      </c>
      <c r="H24" s="1" t="s">
        <v>2</v>
      </c>
      <c r="I24" s="2">
        <f>I23-(-I22)</f>
        <v>366958.61</v>
      </c>
      <c r="J24" s="1" t="s">
        <v>2</v>
      </c>
      <c r="K24" s="2">
        <f>K23-(-K22)</f>
        <v>343000.8</v>
      </c>
      <c r="L24" s="1" t="s">
        <v>2</v>
      </c>
      <c r="M24" s="2">
        <f>M23-(-M22)</f>
        <v>341771.26</v>
      </c>
      <c r="N24" s="1" t="s">
        <v>2</v>
      </c>
      <c r="O24" s="2">
        <f>O23-(-O22)</f>
        <v>341419.91000000003</v>
      </c>
      <c r="P24" s="1" t="s">
        <v>2</v>
      </c>
      <c r="Q24" s="2">
        <f>Q23-(-Q22)</f>
        <v>341068.56000000006</v>
      </c>
      <c r="R24" s="1" t="s">
        <v>2</v>
      </c>
      <c r="S24" s="2">
        <f>S23-(-S22)</f>
        <v>343086.41000000003</v>
      </c>
      <c r="T24" s="1" t="s">
        <v>2</v>
      </c>
      <c r="U24" s="2">
        <f>U23-(-U22)</f>
        <v>345104.26</v>
      </c>
      <c r="V24" s="1" t="s">
        <v>2</v>
      </c>
      <c r="W24" s="2">
        <f>W23-(-W22)</f>
        <v>347122.11</v>
      </c>
      <c r="X24" s="1" t="s">
        <v>2</v>
      </c>
      <c r="Y24" s="2">
        <f>Y23-(-Y22)</f>
        <v>349139.95999999996</v>
      </c>
      <c r="Z24" s="1" t="s">
        <v>2</v>
      </c>
      <c r="AA24" s="2">
        <f>AA23-(-AA22)</f>
        <v>351157.80999999994</v>
      </c>
      <c r="AB24" s="29"/>
      <c r="AC24" s="30"/>
      <c r="AD24" s="3"/>
    </row>
    <row r="25" spans="1:30" ht="32.4" x14ac:dyDescent="0.25">
      <c r="A25" s="10" t="s">
        <v>25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  <c r="AB25" s="31"/>
      <c r="AC25" s="32"/>
      <c r="AD25" s="9"/>
    </row>
    <row r="26" spans="1:30" x14ac:dyDescent="0.25"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</sheetData>
  <mergeCells count="114">
    <mergeCell ref="A1:AC1"/>
    <mergeCell ref="J7:K7"/>
    <mergeCell ref="L7:M7"/>
    <mergeCell ref="A3:AC3"/>
    <mergeCell ref="D2:E2"/>
    <mergeCell ref="F2:G2"/>
    <mergeCell ref="H2:I2"/>
    <mergeCell ref="J2:K2"/>
    <mergeCell ref="L2:M2"/>
    <mergeCell ref="AB2:AC2"/>
    <mergeCell ref="B2:C2"/>
    <mergeCell ref="V2:W2"/>
    <mergeCell ref="Z2:AA2"/>
    <mergeCell ref="R2:S2"/>
    <mergeCell ref="T2:U2"/>
    <mergeCell ref="AB8:AC8"/>
    <mergeCell ref="A10:AC10"/>
    <mergeCell ref="D11:E11"/>
    <mergeCell ref="F11:G11"/>
    <mergeCell ref="H11:I11"/>
    <mergeCell ref="J11:K11"/>
    <mergeCell ref="L11:M11"/>
    <mergeCell ref="AB11:AC11"/>
    <mergeCell ref="V11:W11"/>
    <mergeCell ref="Z11:AA11"/>
    <mergeCell ref="R11:S11"/>
    <mergeCell ref="T11:U11"/>
    <mergeCell ref="D8:E8"/>
    <mergeCell ref="F8:G8"/>
    <mergeCell ref="H8:I8"/>
    <mergeCell ref="J8:K8"/>
    <mergeCell ref="L8:M8"/>
    <mergeCell ref="A23:A24"/>
    <mergeCell ref="AB23:AC23"/>
    <mergeCell ref="AB24:AC24"/>
    <mergeCell ref="AB25:AC25"/>
    <mergeCell ref="B25:AA25"/>
    <mergeCell ref="D19:E19"/>
    <mergeCell ref="F19:G19"/>
    <mergeCell ref="H19:I19"/>
    <mergeCell ref="J19:K19"/>
    <mergeCell ref="L19:M19"/>
    <mergeCell ref="N19:O19"/>
    <mergeCell ref="P19:Q19"/>
    <mergeCell ref="Z19:AA19"/>
    <mergeCell ref="N2:O2"/>
    <mergeCell ref="P2:Q2"/>
    <mergeCell ref="P6:Q6"/>
    <mergeCell ref="N7:O7"/>
    <mergeCell ref="P7:Q7"/>
    <mergeCell ref="N8:O8"/>
    <mergeCell ref="P8:Q8"/>
    <mergeCell ref="N11:O11"/>
    <mergeCell ref="P11:Q11"/>
    <mergeCell ref="N16:O16"/>
    <mergeCell ref="Z6:AA6"/>
    <mergeCell ref="V7:W7"/>
    <mergeCell ref="Z7:AA7"/>
    <mergeCell ref="V8:W8"/>
    <mergeCell ref="Z8:AA8"/>
    <mergeCell ref="N18:O18"/>
    <mergeCell ref="X2:Y2"/>
    <mergeCell ref="X6:Y6"/>
    <mergeCell ref="X7:Y7"/>
    <mergeCell ref="X8:Y8"/>
    <mergeCell ref="X11:Y11"/>
    <mergeCell ref="X19:Y19"/>
    <mergeCell ref="X18:Y18"/>
    <mergeCell ref="T6:U6"/>
    <mergeCell ref="R7:S7"/>
    <mergeCell ref="T7:U7"/>
    <mergeCell ref="R8:S8"/>
    <mergeCell ref="T8:U8"/>
    <mergeCell ref="V16:W16"/>
    <mergeCell ref="V18:W18"/>
    <mergeCell ref="V19:W19"/>
    <mergeCell ref="B6:C6"/>
    <mergeCell ref="D6:E6"/>
    <mergeCell ref="F6:G6"/>
    <mergeCell ref="H6:I6"/>
    <mergeCell ref="J6:K6"/>
    <mergeCell ref="R16:S16"/>
    <mergeCell ref="R18:S18"/>
    <mergeCell ref="R19:S19"/>
    <mergeCell ref="T19:U19"/>
    <mergeCell ref="B16:C16"/>
    <mergeCell ref="B18:C18"/>
    <mergeCell ref="B19:C19"/>
    <mergeCell ref="B7:C7"/>
    <mergeCell ref="B8:C8"/>
    <mergeCell ref="B11:C11"/>
    <mergeCell ref="D16:E16"/>
    <mergeCell ref="D18:E18"/>
    <mergeCell ref="F18:G18"/>
    <mergeCell ref="H18:I18"/>
    <mergeCell ref="J18:K18"/>
    <mergeCell ref="L6:M6"/>
    <mergeCell ref="D7:E7"/>
    <mergeCell ref="F7:G7"/>
    <mergeCell ref="H7:I7"/>
    <mergeCell ref="Z18:AA18"/>
    <mergeCell ref="L16:M16"/>
    <mergeCell ref="P16:Q16"/>
    <mergeCell ref="T16:U16"/>
    <mergeCell ref="X16:Y16"/>
    <mergeCell ref="Z16:AA16"/>
    <mergeCell ref="N17:O17"/>
    <mergeCell ref="P17:Q17"/>
    <mergeCell ref="N6:O6"/>
    <mergeCell ref="R6:S6"/>
    <mergeCell ref="V6:W6"/>
    <mergeCell ref="L18:M18"/>
    <mergeCell ref="P18:Q18"/>
    <mergeCell ref="T18:U18"/>
  </mergeCells>
  <pageMargins left="0.15748031496062992" right="0.15748031496062992" top="0.55118110236220474" bottom="0.55118110236220474" header="0.31496062992125984" footer="0.31496062992125984"/>
  <pageSetup scale="6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AVERROES CASHFLOW (May 23 - June 24).xlsx</dc:title>
  <dc:creator>Haziq Hilman</dc:creator>
  <cp:lastModifiedBy>hanis ezzati</cp:lastModifiedBy>
  <cp:lastPrinted>2025-01-03T11:28:35Z</cp:lastPrinted>
  <dcterms:created xsi:type="dcterms:W3CDTF">2025-01-03T07:34:50Z</dcterms:created>
  <dcterms:modified xsi:type="dcterms:W3CDTF">2025-01-15T08:42:57Z</dcterms:modified>
</cp:coreProperties>
</file>